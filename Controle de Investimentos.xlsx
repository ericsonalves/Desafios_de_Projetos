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SON\OneDrive\Documentos\ERICSON\PROGRAMAÇÃO\DIO\Bootcamp Santander\"/>
    </mc:Choice>
  </mc:AlternateContent>
  <xr:revisionPtr revIDLastSave="0" documentId="13_ncr:1_{A9357616-743A-49FB-9D86-625A27622428}" xr6:coauthVersionLast="47" xr6:coauthVersionMax="47" xr10:uidLastSave="{00000000-0000-0000-0000-000000000000}"/>
  <bookViews>
    <workbookView xWindow="-120" yWindow="-120" windowWidth="20730" windowHeight="11160" tabRatio="0" xr2:uid="{3ED2BC1A-E966-4508-B3BF-F3E1EB1BB158}"/>
  </bookViews>
  <sheets>
    <sheet name="INVESTIMENTOS" sheetId="1" r:id="rId1"/>
    <sheet name="PERF_INVS" sheetId="2" r:id="rId2"/>
  </sheets>
  <definedNames>
    <definedName name="aporte">INVESTIMENTOS!$D$16</definedName>
    <definedName name="patrimonio">INVESTIMENTOS!$D$19</definedName>
    <definedName name="qtd_anos">INVESTIMENTOS!$D$17</definedName>
    <definedName name="rendimento_carteira">INVESTIMENTOS!$D$12</definedName>
    <definedName name="rendimento_mensal">INVESTIMENTOS!$D$18</definedName>
    <definedName name="salario">INVESTIMENTOS!$D$11</definedName>
    <definedName name="sugestao_investimento">INVESTIMENTOS!$D$13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1" l="1"/>
  <c r="D33" i="1" s="1"/>
  <c r="C34" i="1"/>
  <c r="C35" i="1"/>
  <c r="D35" i="1" s="1"/>
  <c r="C36" i="1"/>
  <c r="D36" i="1" s="1"/>
  <c r="C37" i="1"/>
  <c r="D37" i="1" s="1"/>
  <c r="D34" i="1"/>
  <c r="C32" i="1"/>
  <c r="D32" i="1" s="1"/>
  <c r="A8" i="2"/>
  <c r="A9" i="2"/>
  <c r="A10" i="2"/>
  <c r="A11" i="2"/>
  <c r="A12" i="2"/>
  <c r="A13" i="2"/>
  <c r="A14" i="2"/>
  <c r="A15" i="2"/>
  <c r="A16" i="2"/>
  <c r="A17" i="2"/>
  <c r="A18" i="2"/>
  <c r="A19" i="2"/>
  <c r="A3" i="2"/>
  <c r="A4" i="2"/>
  <c r="A5" i="2"/>
  <c r="A6" i="2"/>
  <c r="A7" i="2"/>
  <c r="A2" i="2"/>
  <c r="C29" i="1"/>
  <c r="D19" i="1"/>
  <c r="D20" i="1" s="1"/>
  <c r="C24" i="1"/>
  <c r="D24" i="1" s="1"/>
  <c r="C25" i="1"/>
  <c r="D25" i="1" s="1"/>
  <c r="C26" i="1"/>
  <c r="D26" i="1" s="1"/>
  <c r="C23" i="1"/>
  <c r="D23" i="1" s="1"/>
  <c r="D13" i="1"/>
  <c r="D38" i="1" l="1"/>
</calcChain>
</file>

<file path=xl/sharedStrings.xml><?xml version="1.0" encoding="utf-8"?>
<sst xmlns="http://schemas.openxmlformats.org/spreadsheetml/2006/main" count="66" uniqueCount="31">
  <si>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</si>
  <si>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</si>
  <si>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</si>
  <si>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</si>
  <si>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</si>
  <si>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</si>
  <si>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Cenários</t>
  </si>
  <si>
    <t>Dividendos</t>
  </si>
  <si>
    <t>Quanto em 2 anos ?</t>
  </si>
  <si>
    <t>Quanto em 5 anos ?</t>
  </si>
  <si>
    <t>Quanto em 10 anos ?</t>
  </si>
  <si>
    <t>Quanto em 20 anos ?</t>
  </si>
  <si>
    <t>Salário</t>
  </si>
  <si>
    <t>Rendimento da Carteira</t>
  </si>
  <si>
    <t>Sugestão de investimento (30%)</t>
  </si>
  <si>
    <t>CONFIGURAÇÕES</t>
  </si>
  <si>
    <t>PERFIL</t>
  </si>
  <si>
    <t>VALORE A SER INVESTIDO POR MÊS</t>
  </si>
  <si>
    <t>Conservador</t>
  </si>
  <si>
    <t>TIPOS DE FIIS</t>
  </si>
  <si>
    <t>PAPEL</t>
  </si>
  <si>
    <t>TIJOLO</t>
  </si>
  <si>
    <t>HÍBRIDO</t>
  </si>
  <si>
    <t>FOFs</t>
  </si>
  <si>
    <t>DESENVOLVIMENTO</t>
  </si>
  <si>
    <t>HOTELARIA</t>
  </si>
  <si>
    <t>TIPO</t>
  </si>
  <si>
    <t>%</t>
  </si>
  <si>
    <t>CHAVE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</si>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</sst>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2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164" fontId="3" fillId="5" borderId="6" xfId="0" applyNumberFormat="1" applyFont="1" applyFill="1" applyBorder="1" applyAlignment="1">
      <alignment horizontal="center" vertical="center"/>
    </xf>
    <xf numFmtId="164" fontId="3" fillId="5" borderId="8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left" indent="2"/>
    </xf>
    <xf numFmtId="0" fontId="0" fillId="5" borderId="5" xfId="0" applyFill="1" applyBorder="1" applyAlignment="1">
      <alignment horizontal="left" indent="2"/>
    </xf>
    <xf numFmtId="0" fontId="0" fillId="5" borderId="7" xfId="0" applyFill="1" applyBorder="1" applyAlignment="1">
      <alignment horizontal="left" indent="2"/>
    </xf>
    <xf numFmtId="164" fontId="3" fillId="5" borderId="8" xfId="1" applyNumberFormat="1" applyFont="1" applyFill="1" applyBorder="1" applyAlignment="1">
      <alignment horizontal="center" vertical="center"/>
    </xf>
    <xf numFmtId="164" fontId="3" fillId="5" borderId="12" xfId="0" applyNumberFormat="1" applyFont="1" applyFill="1" applyBorder="1" applyAlignment="1">
      <alignment horizontal="center" vertical="center"/>
    </xf>
    <xf numFmtId="164" fontId="3" fillId="5" borderId="11" xfId="0" applyNumberFormat="1" applyFont="1" applyFill="1" applyBorder="1" applyAlignment="1">
      <alignment horizontal="center" vertical="center"/>
    </xf>
    <xf numFmtId="164" fontId="3" fillId="5" borderId="13" xfId="0" applyNumberFormat="1" applyFont="1" applyFill="1" applyBorder="1" applyAlignment="1">
      <alignment horizontal="center" vertical="center"/>
    </xf>
    <xf numFmtId="164" fontId="3" fillId="5" borderId="14" xfId="0" applyNumberFormat="1" applyFont="1" applyFill="1" applyBorder="1" applyAlignment="1">
      <alignment horizontal="center" vertical="center"/>
    </xf>
    <xf numFmtId="164" fontId="0" fillId="6" borderId="11" xfId="0" applyNumberFormat="1" applyFill="1" applyBorder="1" applyAlignment="1">
      <alignment horizontal="center" vertical="center"/>
    </xf>
    <xf numFmtId="10" fontId="1" fillId="6" borderId="6" xfId="2" applyNumberFormat="1" applyFont="1" applyFill="1" applyBorder="1" applyAlignment="1">
      <alignment horizontal="center" vertical="center"/>
    </xf>
    <xf numFmtId="164" fontId="0" fillId="6" borderId="11" xfId="1" applyNumberFormat="1" applyFont="1" applyFill="1" applyBorder="1" applyAlignment="1">
      <alignment horizontal="center" vertical="center"/>
    </xf>
    <xf numFmtId="10" fontId="0" fillId="6" borderId="6" xfId="2" applyNumberFormat="1" applyFont="1" applyFill="1" applyBorder="1" applyAlignment="1">
      <alignment horizontal="center"/>
    </xf>
    <xf numFmtId="1" fontId="0" fillId="6" borderId="6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horizontal="center"/>
    </xf>
    <xf numFmtId="9" fontId="0" fillId="0" borderId="0" xfId="2" applyFont="1" applyAlignment="1">
      <alignment horizontal="center"/>
    </xf>
    <xf numFmtId="9" fontId="0" fillId="0" borderId="15" xfId="2" applyFont="1" applyBorder="1" applyAlignment="1">
      <alignment horizontal="center"/>
    </xf>
    <xf numFmtId="0" fontId="7" fillId="2" borderId="1" xfId="3" applyFont="1" applyBorder="1" applyAlignment="1">
      <alignment horizontal="left" indent="2"/>
    </xf>
    <xf numFmtId="0" fontId="0" fillId="0" borderId="17" xfId="0" applyBorder="1" applyAlignment="1">
      <alignment horizontal="center"/>
    </xf>
    <xf numFmtId="9" fontId="0" fillId="0" borderId="18" xfId="2" applyFon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9" fontId="0" fillId="0" borderId="21" xfId="2" applyFon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9" fontId="0" fillId="0" borderId="24" xfId="2" applyFon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164" fontId="3" fillId="7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164" fontId="3" fillId="7" borderId="4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left" indent="2"/>
    </xf>
    <xf numFmtId="0" fontId="0" fillId="0" borderId="5" xfId="0" applyBorder="1" applyAlignment="1">
      <alignment horizontal="left" indent="2"/>
    </xf>
    <xf numFmtId="0" fontId="0" fillId="0" borderId="13" xfId="0" applyBorder="1" applyAlignment="1">
      <alignment horizontal="left" indent="2"/>
    </xf>
    <xf numFmtId="0" fontId="0" fillId="5" borderId="5" xfId="0" applyFill="1" applyBorder="1" applyAlignment="1">
      <alignment horizontal="left" indent="2"/>
    </xf>
    <xf numFmtId="0" fontId="0" fillId="5" borderId="13" xfId="0" applyFill="1" applyBorder="1" applyAlignment="1">
      <alignment horizontal="left" indent="2"/>
    </xf>
    <xf numFmtId="0" fontId="0" fillId="5" borderId="7" xfId="0" applyFill="1" applyBorder="1" applyAlignment="1">
      <alignment horizontal="left" indent="2"/>
    </xf>
    <xf numFmtId="0" fontId="0" fillId="5" borderId="14" xfId="0" applyFill="1" applyBorder="1" applyAlignment="1">
      <alignment horizontal="left" indent="2"/>
    </xf>
    <xf numFmtId="0" fontId="7" fillId="2" borderId="9" xfId="3" applyFont="1" applyBorder="1" applyAlignment="1">
      <alignment horizontal="center"/>
    </xf>
    <xf numFmtId="0" fontId="7" fillId="2" borderId="2" xfId="3" applyFont="1" applyBorder="1" applyAlignment="1">
      <alignment horizontal="center"/>
    </xf>
    <xf numFmtId="164" fontId="3" fillId="5" borderId="16" xfId="0" applyNumberFormat="1" applyFont="1" applyFill="1" applyBorder="1" applyAlignment="1">
      <alignment horizontal="center"/>
    </xf>
    <xf numFmtId="164" fontId="3" fillId="5" borderId="4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left" indent="2"/>
    </xf>
    <xf numFmtId="0" fontId="0" fillId="5" borderId="12" xfId="0" applyFill="1" applyBorder="1" applyAlignment="1">
      <alignment horizontal="left" indent="2"/>
    </xf>
    <xf numFmtId="0" fontId="5" fillId="3" borderId="2" xfId="0" applyFont="1" applyFill="1" applyBorder="1" applyAlignment="1">
      <alignment horizontal="center" vertical="center"/>
    </xf>
    <xf numFmtId="0" fontId="0" fillId="0" borderId="10" xfId="0" applyBorder="1" applyAlignment="1">
      <alignment horizontal="left" indent="2"/>
    </xf>
    <xf numFmtId="0" fontId="0" fillId="0" borderId="12" xfId="0" applyBorder="1" applyAlignment="1">
      <alignment horizontal="left" indent="2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E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336176</xdr:colOff>
      <xdr:row>1</xdr:row>
      <xdr:rowOff>76203</xdr:rowOff>
    </xdr:from>
    <xdr:to>
      <xdr:col>4</xdr:col>
      <xdr:colOff>896471</xdr:colOff>
      <xdr:row>8</xdr:row>
      <xdr:rowOff>145679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3DFD04-5D04-444A-A0B7-43516D77CE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336176" y="121027"/>
          <a:ext cx="7182971" cy="1324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035D-FD79-4C0F-AA40-E7EF35B303E5}">
  <dimension ref="A1:F38"/>
  <sheetViews>
    <sheetView showGridLines="0" showRowColHeaders="0" tabSelected="1" zoomScaleNormal="100" workbookViewId="0">
      <selection activeCell="D17" sqref="D17"/>
    </sheetView>
  </sheetViews>
  <sheetFormatPr defaultColWidth="0" defaultRowHeight="15" x14ac:dyDescent="0.25"/>
  <cols>
    <col min="1" max="1" width="16" customWidth="1"/>
    <col min="2" max="2" width="35.140625" bestFit="1" customWidth="1"/>
    <col min="3" max="3" width="30.5703125" customWidth="1"/>
    <col min="4" max="4" width="17.5703125" customWidth="1"/>
    <col min="5" max="5" width="18.42578125" customWidth="1"/>
    <col min="6" max="6" width="16.5703125" hidden="1" customWidth="1"/>
    <col min="7" max="16384" width="9.140625" hidden="1"/>
  </cols>
  <sheetData>
    <row r="1" spans="2:4" ht="3.75" customHeight="1" x14ac:dyDescent="0.25"/>
    <row r="8" spans="2:4" ht="9" customHeight="1" x14ac:dyDescent="0.25"/>
    <row r="9" spans="2:4" ht="18.75" customHeight="1" thickBot="1" x14ac:dyDescent="0.3"/>
    <row r="10" spans="2:4" ht="29.25" customHeight="1" x14ac:dyDescent="0.25">
      <c r="B10" s="54" t="s">
        <v>15</v>
      </c>
      <c r="C10" s="55"/>
      <c r="D10" s="56"/>
    </row>
    <row r="11" spans="2:4" ht="15.75" thickBot="1" x14ac:dyDescent="0.3">
      <c r="B11" s="57" t="s">
        <v>12</v>
      </c>
      <c r="C11" s="58"/>
      <c r="D11" s="16">
        <v>2700</v>
      </c>
    </row>
    <row r="12" spans="2:4" ht="15.75" thickBot="1" x14ac:dyDescent="0.3">
      <c r="B12" s="44" t="s">
        <v>13</v>
      </c>
      <c r="C12" s="45"/>
      <c r="D12" s="17">
        <v>8.0000000000000002E-3</v>
      </c>
    </row>
    <row r="13" spans="2:4" ht="15.75" thickBot="1" x14ac:dyDescent="0.3">
      <c r="B13" s="46" t="s">
        <v>14</v>
      </c>
      <c r="C13" s="47"/>
      <c r="D13" s="9">
        <f>D11*30%</f>
        <v>810</v>
      </c>
    </row>
    <row r="14" spans="2:4" ht="18.75" customHeight="1" thickBot="1" x14ac:dyDescent="0.3"/>
    <row r="15" spans="2:4" ht="29.25" customHeight="1" x14ac:dyDescent="0.25">
      <c r="B15" s="52" t="s">
        <v>5</v>
      </c>
      <c r="C15" s="53"/>
      <c r="D15" s="59"/>
    </row>
    <row r="16" spans="2:4" ht="15.75" thickBot="1" x14ac:dyDescent="0.3">
      <c r="B16" s="60" t="s">
        <v>0</v>
      </c>
      <c r="C16" s="61"/>
      <c r="D16" s="14">
        <v>810</v>
      </c>
    </row>
    <row r="17" spans="1:4" ht="15.75" thickBot="1" x14ac:dyDescent="0.3">
      <c r="B17" s="42" t="s">
        <v>1</v>
      </c>
      <c r="C17" s="43"/>
      <c r="D17" s="18">
        <v>5</v>
      </c>
    </row>
    <row r="18" spans="1:4" ht="15.75" thickBot="1" x14ac:dyDescent="0.3">
      <c r="B18" s="42" t="s">
        <v>2</v>
      </c>
      <c r="C18" s="43"/>
      <c r="D18" s="15">
        <v>1.078E-2</v>
      </c>
    </row>
    <row r="19" spans="1:4" ht="15.75" thickBot="1" x14ac:dyDescent="0.3">
      <c r="B19" s="44" t="s">
        <v>3</v>
      </c>
      <c r="C19" s="45"/>
      <c r="D19" s="3">
        <f>FV(rendimento_mensal,qtd_anos*12,aporte*-1)</f>
        <v>67837.353831355096</v>
      </c>
    </row>
    <row r="20" spans="1:4" ht="15.75" thickBot="1" x14ac:dyDescent="0.3">
      <c r="B20" s="46" t="s">
        <v>4</v>
      </c>
      <c r="C20" s="47"/>
      <c r="D20" s="4">
        <f>patrimonio*rendimento_carteira</f>
        <v>542.69883065084082</v>
      </c>
    </row>
    <row r="21" spans="1:4" ht="18.75" customHeight="1" thickBot="1" x14ac:dyDescent="0.3"/>
    <row r="22" spans="1:4" ht="26.25" x14ac:dyDescent="0.25">
      <c r="B22" s="52" t="s">
        <v>6</v>
      </c>
      <c r="C22" s="53"/>
      <c r="D22" s="5" t="s">
        <v>7</v>
      </c>
    </row>
    <row r="23" spans="1:4" ht="15.75" thickBot="1" x14ac:dyDescent="0.3">
      <c r="A23" s="1">
        <v>2</v>
      </c>
      <c r="B23" s="6" t="s">
        <v>8</v>
      </c>
      <c r="C23" s="10">
        <f>FV(rendimento_mensal,A23*12,aporte*-1)</f>
        <v>22051.757045819024</v>
      </c>
      <c r="D23" s="11">
        <f>C23*rendimento_carteira</f>
        <v>176.41405636655219</v>
      </c>
    </row>
    <row r="24" spans="1:4" ht="15.75" thickBot="1" x14ac:dyDescent="0.3">
      <c r="A24" s="1">
        <v>5</v>
      </c>
      <c r="B24" s="7" t="s">
        <v>9</v>
      </c>
      <c r="C24" s="12">
        <f>FV(rendimento_mensal,A24*12,aporte*-1)</f>
        <v>67837.353831355096</v>
      </c>
      <c r="D24" s="3">
        <f>C24*rendimento_carteira</f>
        <v>542.69883065084082</v>
      </c>
    </row>
    <row r="25" spans="1:4" ht="15.75" thickBot="1" x14ac:dyDescent="0.3">
      <c r="A25" s="1">
        <v>10</v>
      </c>
      <c r="B25" s="7" t="s">
        <v>10</v>
      </c>
      <c r="C25" s="12">
        <f>FV(rendimento_mensal,A25*12,aporte*-1)</f>
        <v>196919.8346710809</v>
      </c>
      <c r="D25" s="3">
        <f>C25*rendimento_carteira</f>
        <v>1575.3586773686472</v>
      </c>
    </row>
    <row r="26" spans="1:4" ht="15.75" thickBot="1" x14ac:dyDescent="0.3">
      <c r="A26" s="1">
        <v>20</v>
      </c>
      <c r="B26" s="8" t="s">
        <v>11</v>
      </c>
      <c r="C26" s="13">
        <f>FV(rendimento_mensal,A26*12,aporte*-1)</f>
        <v>909914.48597503756</v>
      </c>
      <c r="D26" s="4">
        <f>C26*rendimento_carteira</f>
        <v>7279.3158878003005</v>
      </c>
    </row>
    <row r="27" spans="1:4" ht="18.75" customHeight="1" thickBot="1" x14ac:dyDescent="0.3"/>
    <row r="28" spans="1:4" x14ac:dyDescent="0.25">
      <c r="B28" s="25" t="s">
        <v>16</v>
      </c>
      <c r="C28" s="48" t="s">
        <v>30</v>
      </c>
      <c r="D28" s="49"/>
    </row>
    <row r="29" spans="1:4" ht="15.75" thickBot="1" x14ac:dyDescent="0.3">
      <c r="B29" s="41" t="s">
        <v>17</v>
      </c>
      <c r="C29" s="50">
        <f>aporte</f>
        <v>810</v>
      </c>
      <c r="D29" s="51"/>
    </row>
    <row r="30" spans="1:4" ht="9" customHeight="1" thickBot="1" x14ac:dyDescent="0.3">
      <c r="D30" s="19"/>
    </row>
    <row r="31" spans="1:4" x14ac:dyDescent="0.25">
      <c r="B31" s="35" t="s">
        <v>19</v>
      </c>
      <c r="C31" s="36"/>
      <c r="D31" s="37"/>
    </row>
    <row r="32" spans="1:4" ht="15.75" thickBot="1" x14ac:dyDescent="0.3">
      <c r="B32" s="26" t="s">
        <v>20</v>
      </c>
      <c r="C32" s="27">
        <f>VLOOKUP($C$28&amp;"-"&amp;B32,PERF_INVS!$A$2:$D$19,4,FALSE)</f>
        <v>0.5</v>
      </c>
      <c r="D32" s="28">
        <f t="shared" ref="D32:D37" si="0">C32*aporte</f>
        <v>405</v>
      </c>
    </row>
    <row r="33" spans="2:4" ht="15.75" thickBot="1" x14ac:dyDescent="0.3">
      <c r="B33" s="29" t="s">
        <v>21</v>
      </c>
      <c r="C33" s="30">
        <f>VLOOKUP($C$28&amp;"-"&amp;B33,PERF_INVS!$A$2:$D$19,4,FALSE)</f>
        <v>0.1</v>
      </c>
      <c r="D33" s="31">
        <f t="shared" si="0"/>
        <v>81</v>
      </c>
    </row>
    <row r="34" spans="2:4" ht="15.75" thickBot="1" x14ac:dyDescent="0.3">
      <c r="B34" s="29" t="s">
        <v>22</v>
      </c>
      <c r="C34" s="30">
        <f>VLOOKUP($C$28&amp;"-"&amp;B34,PERF_INVS!$A$2:$D$19,4,FALSE)</f>
        <v>0.1</v>
      </c>
      <c r="D34" s="31">
        <f t="shared" si="0"/>
        <v>81</v>
      </c>
    </row>
    <row r="35" spans="2:4" ht="15.75" thickBot="1" x14ac:dyDescent="0.3">
      <c r="B35" s="29" t="s">
        <v>23</v>
      </c>
      <c r="C35" s="30">
        <f>VLOOKUP($C$28&amp;"-"&amp;B35,PERF_INVS!$A$2:$D$19,4,FALSE)</f>
        <v>0.05</v>
      </c>
      <c r="D35" s="31">
        <f t="shared" si="0"/>
        <v>40.5</v>
      </c>
    </row>
    <row r="36" spans="2:4" ht="15.75" thickBot="1" x14ac:dyDescent="0.3">
      <c r="B36" s="29" t="s">
        <v>24</v>
      </c>
      <c r="C36" s="30">
        <f>VLOOKUP($C$28&amp;"-"&amp;B36,PERF_INVS!$A$2:$D$19,4,FALSE)</f>
        <v>0.2</v>
      </c>
      <c r="D36" s="31">
        <f t="shared" si="0"/>
        <v>162</v>
      </c>
    </row>
    <row r="37" spans="2:4" x14ac:dyDescent="0.25">
      <c r="B37" s="32" t="s">
        <v>25</v>
      </c>
      <c r="C37" s="33">
        <f>VLOOKUP($C$28&amp;"-"&amp;B37,PERF_INVS!$A$2:$D$19,4,FALSE)</f>
        <v>0.05</v>
      </c>
      <c r="D37" s="34">
        <f t="shared" si="0"/>
        <v>40.5</v>
      </c>
    </row>
    <row r="38" spans="2:4" ht="15.75" thickBot="1" x14ac:dyDescent="0.3">
      <c r="B38" s="38"/>
      <c r="C38" s="39"/>
      <c r="D38" s="40">
        <f>SUM(D32:D37)</f>
        <v>810</v>
      </c>
    </row>
  </sheetData>
  <mergeCells count="13">
    <mergeCell ref="B16:C16"/>
    <mergeCell ref="B17:C17"/>
    <mergeCell ref="B10:D10"/>
    <mergeCell ref="B11:C11"/>
    <mergeCell ref="B12:C12"/>
    <mergeCell ref="B13:C13"/>
    <mergeCell ref="B15:D15"/>
    <mergeCell ref="B18:C18"/>
    <mergeCell ref="B19:C19"/>
    <mergeCell ref="B20:C20"/>
    <mergeCell ref="C28:D28"/>
    <mergeCell ref="C29:D29"/>
    <mergeCell ref="B22:C22"/>
  </mergeCells>
  <dataValidations count="1">
    <dataValidation type="list" allowBlank="1" showInputMessage="1" showErrorMessage="1" sqref="C28" xr:uid="{789994B2-7B29-40C4-91BC-BFA457D44903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F8F0-186B-440B-BE28-88B4A9BB3152}">
  <dimension ref="A1:D19"/>
  <sheetViews>
    <sheetView workbookViewId="0">
      <selection activeCell="B29" sqref="B29"/>
    </sheetView>
  </sheetViews>
  <sheetFormatPr defaultRowHeight="15" x14ac:dyDescent="0.25"/>
  <cols>
    <col min="1" max="1" width="36.42578125" customWidth="1"/>
    <col min="2" max="2" width="12.140625" bestFit="1" customWidth="1"/>
    <col min="3" max="3" width="19" bestFit="1" customWidth="1"/>
  </cols>
  <sheetData>
    <row r="1" spans="1:4" x14ac:dyDescent="0.25">
      <c r="A1" s="20" t="s">
        <v>28</v>
      </c>
      <c r="B1" s="20" t="s">
        <v>16</v>
      </c>
      <c r="C1" s="20" t="s">
        <v>26</v>
      </c>
      <c r="D1" s="20" t="s">
        <v>27</v>
      </c>
    </row>
    <row r="2" spans="1:4" x14ac:dyDescent="0.25">
      <c r="A2" t="str">
        <f>B2&amp;"-"&amp;C2</f>
        <v>Conservador-PAPEL</v>
      </c>
      <c r="B2" t="s">
        <v>18</v>
      </c>
      <c r="C2" s="2" t="s">
        <v>20</v>
      </c>
      <c r="D2" s="23">
        <v>0.3</v>
      </c>
    </row>
    <row r="3" spans="1:4" x14ac:dyDescent="0.25">
      <c r="A3" t="str">
        <f t="shared" ref="A3:A19" si="0">B3&amp;"-"&amp;C3</f>
        <v>Conservador-TIJOLO</v>
      </c>
      <c r="B3" t="s">
        <v>18</v>
      </c>
      <c r="C3" s="2" t="s">
        <v>21</v>
      </c>
      <c r="D3" s="23">
        <v>0.5</v>
      </c>
    </row>
    <row r="4" spans="1:4" x14ac:dyDescent="0.25">
      <c r="A4" t="str">
        <f t="shared" si="0"/>
        <v>Conservador-HÍBRIDO</v>
      </c>
      <c r="B4" t="s">
        <v>18</v>
      </c>
      <c r="C4" s="2" t="s">
        <v>22</v>
      </c>
      <c r="D4" s="23">
        <v>0.1</v>
      </c>
    </row>
    <row r="5" spans="1:4" x14ac:dyDescent="0.25">
      <c r="A5" t="str">
        <f t="shared" si="0"/>
        <v>Conservador-FOFs</v>
      </c>
      <c r="B5" t="s">
        <v>18</v>
      </c>
      <c r="C5" s="2" t="s">
        <v>23</v>
      </c>
      <c r="D5" s="23">
        <v>0.1</v>
      </c>
    </row>
    <row r="6" spans="1:4" x14ac:dyDescent="0.25">
      <c r="A6" t="str">
        <f t="shared" si="0"/>
        <v>Conservador-DESENVOLVIMENTO</v>
      </c>
      <c r="B6" t="s">
        <v>18</v>
      </c>
      <c r="C6" s="2" t="s">
        <v>24</v>
      </c>
      <c r="D6" s="23">
        <v>0</v>
      </c>
    </row>
    <row r="7" spans="1:4" x14ac:dyDescent="0.25">
      <c r="A7" s="21" t="str">
        <f t="shared" si="0"/>
        <v>Conservador-HOTELARIA</v>
      </c>
      <c r="B7" s="21" t="s">
        <v>18</v>
      </c>
      <c r="C7" s="22" t="s">
        <v>25</v>
      </c>
      <c r="D7" s="24">
        <v>0</v>
      </c>
    </row>
    <row r="8" spans="1:4" x14ac:dyDescent="0.25">
      <c r="A8" t="str">
        <f t="shared" si="0"/>
        <v>Moderado-PAPEL</v>
      </c>
      <c r="B8" t="s">
        <v>29</v>
      </c>
      <c r="C8" s="2" t="s">
        <v>20</v>
      </c>
      <c r="D8" s="23">
        <v>0.32</v>
      </c>
    </row>
    <row r="9" spans="1:4" x14ac:dyDescent="0.25">
      <c r="A9" t="str">
        <f t="shared" si="0"/>
        <v>Moderado-TIJOLO</v>
      </c>
      <c r="B9" t="s">
        <v>29</v>
      </c>
      <c r="C9" s="2" t="s">
        <v>21</v>
      </c>
      <c r="D9" s="23">
        <v>0.4</v>
      </c>
    </row>
    <row r="10" spans="1:4" x14ac:dyDescent="0.25">
      <c r="A10" t="str">
        <f t="shared" si="0"/>
        <v>Moderado-HÍBRIDO</v>
      </c>
      <c r="B10" t="s">
        <v>29</v>
      </c>
      <c r="C10" s="2" t="s">
        <v>22</v>
      </c>
      <c r="D10" s="23">
        <v>0.08</v>
      </c>
    </row>
    <row r="11" spans="1:4" x14ac:dyDescent="0.25">
      <c r="A11" t="str">
        <f t="shared" si="0"/>
        <v>Moderado-FOFs</v>
      </c>
      <c r="B11" t="s">
        <v>29</v>
      </c>
      <c r="C11" s="2" t="s">
        <v>23</v>
      </c>
      <c r="D11" s="23">
        <v>0.1</v>
      </c>
    </row>
    <row r="12" spans="1:4" x14ac:dyDescent="0.25">
      <c r="A12" t="str">
        <f t="shared" si="0"/>
        <v>Moderado-DESENVOLVIMENTO</v>
      </c>
      <c r="B12" t="s">
        <v>29</v>
      </c>
      <c r="C12" s="2" t="s">
        <v>24</v>
      </c>
      <c r="D12" s="23">
        <v>0.1</v>
      </c>
    </row>
    <row r="13" spans="1:4" x14ac:dyDescent="0.25">
      <c r="A13" s="21" t="str">
        <f t="shared" si="0"/>
        <v>Moderado-HOTELARIA</v>
      </c>
      <c r="B13" s="21" t="s">
        <v>29</v>
      </c>
      <c r="C13" s="22" t="s">
        <v>25</v>
      </c>
      <c r="D13" s="24">
        <v>0</v>
      </c>
    </row>
    <row r="14" spans="1:4" x14ac:dyDescent="0.25">
      <c r="A14" t="str">
        <f t="shared" si="0"/>
        <v>Agressivo-PAPEL</v>
      </c>
      <c r="B14" t="s">
        <v>30</v>
      </c>
      <c r="C14" s="2" t="s">
        <v>20</v>
      </c>
      <c r="D14" s="23">
        <v>0.5</v>
      </c>
    </row>
    <row r="15" spans="1:4" x14ac:dyDescent="0.25">
      <c r="A15" t="str">
        <f t="shared" si="0"/>
        <v>Agressivo-TIJOLO</v>
      </c>
      <c r="B15" t="s">
        <v>30</v>
      </c>
      <c r="C15" s="2" t="s">
        <v>21</v>
      </c>
      <c r="D15" s="23">
        <v>0.1</v>
      </c>
    </row>
    <row r="16" spans="1:4" x14ac:dyDescent="0.25">
      <c r="A16" t="str">
        <f t="shared" si="0"/>
        <v>Agressivo-HÍBRIDO</v>
      </c>
      <c r="B16" t="s">
        <v>30</v>
      </c>
      <c r="C16" s="2" t="s">
        <v>22</v>
      </c>
      <c r="D16" s="23">
        <v>0.1</v>
      </c>
    </row>
    <row r="17" spans="1:4" x14ac:dyDescent="0.25">
      <c r="A17" t="str">
        <f t="shared" si="0"/>
        <v>Agressivo-FOFs</v>
      </c>
      <c r="B17" t="s">
        <v>30</v>
      </c>
      <c r="C17" s="2" t="s">
        <v>23</v>
      </c>
      <c r="D17" s="23">
        <v>0.05</v>
      </c>
    </row>
    <row r="18" spans="1:4" x14ac:dyDescent="0.25">
      <c r="A18" t="str">
        <f t="shared" si="0"/>
        <v>Agressivo-DESENVOLVIMENTO</v>
      </c>
      <c r="B18" t="s">
        <v>30</v>
      </c>
      <c r="C18" s="2" t="s">
        <v>24</v>
      </c>
      <c r="D18" s="23">
        <v>0.2</v>
      </c>
    </row>
    <row r="19" spans="1:4" x14ac:dyDescent="0.25">
      <c r="A19" t="str">
        <f t="shared" si="0"/>
        <v>Agressivo-HOTELARIA</v>
      </c>
      <c r="B19" t="s">
        <v>30</v>
      </c>
      <c r="C19" s="2" t="s">
        <v>25</v>
      </c>
      <c r="D19" s="23">
        <v>0.05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INVESTIMENTOS</vt:lpstr>
      <vt:lpstr>PERF_INVS</vt:lpstr>
      <vt:lpstr>aporte</vt:lpstr>
      <vt:lpstr>patrimonio</vt:lpstr>
      <vt:lpstr>qtd_anos</vt:lpstr>
      <vt:lpstr>rendimento_carteira</vt:lpstr>
      <vt:lpstr>rendimento_mensal</vt:lpstr>
      <vt:lpstr>salario</vt:lpstr>
      <vt:lpstr>sugestao_investimento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ericsonalves.66@gmail.com</dc:creator>
  <cp:lastModifiedBy>ericsonalves.66@gmail.com</cp:lastModifiedBy>
  <dcterms:created xsi:type="dcterms:W3CDTF">2026-09-14T23:47:45Z</dcterms:created>
  <dcterms:modified xsi:type="dcterms:W3CDTF">2026-09-20T00:23:11Z</dcterms:modified>
</cp:coreProperties>
</file>